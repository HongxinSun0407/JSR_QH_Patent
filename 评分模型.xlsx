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80" activeTab="1"/>
  </bookViews>
  <sheets>
    <sheet name="评分模型" sheetId="4" r:id="rId1"/>
    <sheet name="总分" sheetId="5" r:id="rId2"/>
    <sheet name="法律维度" sheetId="6" r:id="rId3"/>
    <sheet name="技术维度" sheetId="7" r:id="rId4"/>
    <sheet name="市场维度" sheetId="8" r:id="rId5"/>
  </sheets>
  <calcPr calcId="144525"/>
</workbook>
</file>

<file path=xl/sharedStrings.xml><?xml version="1.0" encoding="utf-8"?>
<sst xmlns="http://schemas.openxmlformats.org/spreadsheetml/2006/main" count="104" uniqueCount="60">
  <si>
    <t>一级指标</t>
  </si>
  <si>
    <t>权重</t>
  </si>
  <si>
    <t>得分</t>
  </si>
  <si>
    <t>二级指标</t>
  </si>
  <si>
    <t>三级指标</t>
  </si>
  <si>
    <t>法律价值</t>
  </si>
  <si>
    <t>专利保护范围</t>
  </si>
  <si>
    <t>权利要求的清晰性</t>
  </si>
  <si>
    <t>保护范围的深度</t>
  </si>
  <si>
    <t>说明书页数</t>
  </si>
  <si>
    <t>数页数，13页为基础分75，少1一页-5分，多一页+1.5分</t>
  </si>
  <si>
    <t>独立权利要求数量</t>
  </si>
  <si>
    <t>数句号，基础分55分。1个句号+10分，100分封顶</t>
  </si>
  <si>
    <t>专利稳定性</t>
  </si>
  <si>
    <t>受到技术挑战的可能性</t>
  </si>
  <si>
    <t>专利有效性（类型）</t>
  </si>
  <si>
    <t>发明90、实用新型50、外观30</t>
  </si>
  <si>
    <t>同族专利（数量）</t>
  </si>
  <si>
    <r>
      <rPr>
        <sz val="11"/>
        <color theme="1"/>
        <rFont val="微软雅黑"/>
        <charset val="134"/>
      </rPr>
      <t>基础分70分，每有1件</t>
    </r>
    <r>
      <rPr>
        <sz val="11"/>
        <color rgb="FFFF0000"/>
        <rFont val="微软雅黑"/>
        <charset val="134"/>
      </rPr>
      <t>简单同族</t>
    </r>
    <r>
      <rPr>
        <sz val="11"/>
        <color theme="1"/>
        <rFont val="微软雅黑"/>
        <charset val="134"/>
      </rPr>
      <t>+10分，100分封顶</t>
    </r>
  </si>
  <si>
    <t>法律状态</t>
  </si>
  <si>
    <r>
      <rPr>
        <sz val="11"/>
        <color theme="1"/>
        <rFont val="微软雅黑"/>
        <charset val="134"/>
      </rPr>
      <t>字段包含</t>
    </r>
    <r>
      <rPr>
        <sz val="11"/>
        <color rgb="FFFF0000"/>
        <rFont val="微软雅黑"/>
        <charset val="134"/>
      </rPr>
      <t>授权</t>
    </r>
    <r>
      <rPr>
        <sz val="11"/>
        <color theme="1"/>
        <rFont val="微软雅黑"/>
        <charset val="134"/>
      </rPr>
      <t>85分，包含</t>
    </r>
    <r>
      <rPr>
        <sz val="11"/>
        <color rgb="FFFF0000"/>
        <rFont val="微软雅黑"/>
        <charset val="134"/>
      </rPr>
      <t>实质审查</t>
    </r>
    <r>
      <rPr>
        <sz val="11"/>
        <color theme="1"/>
        <rFont val="微软雅黑"/>
        <charset val="134"/>
      </rPr>
      <t>70分，</t>
    </r>
    <r>
      <rPr>
        <sz val="11"/>
        <color rgb="FFFF0000"/>
        <rFont val="微软雅黑"/>
        <charset val="134"/>
      </rPr>
      <t>其他</t>
    </r>
    <r>
      <rPr>
        <sz val="11"/>
        <color theme="1"/>
        <rFont val="微软雅黑"/>
        <charset val="134"/>
      </rPr>
      <t>60分</t>
    </r>
  </si>
  <si>
    <t>技术价值</t>
  </si>
  <si>
    <t>技术先进性</t>
  </si>
  <si>
    <t>技术创新性</t>
  </si>
  <si>
    <t>技术独特性</t>
  </si>
  <si>
    <t>被引用次数</t>
  </si>
  <si>
    <t>15次及以上100分，10-14次90分，5-9次80分，1-4次70分，0次60分</t>
  </si>
  <si>
    <t>技术实施难度</t>
  </si>
  <si>
    <t>技术复杂性</t>
  </si>
  <si>
    <t>资源需求</t>
  </si>
  <si>
    <t>技术转化周期</t>
  </si>
  <si>
    <t>风险与不确定性</t>
  </si>
  <si>
    <t>社会与经济影响</t>
  </si>
  <si>
    <t>是否战略新兴产业</t>
  </si>
  <si>
    <t>是90，否45</t>
  </si>
  <si>
    <t>市场价值</t>
  </si>
  <si>
    <t>市场需求</t>
  </si>
  <si>
    <t>潜在市场规模</t>
  </si>
  <si>
    <t>竞争格局</t>
  </si>
  <si>
    <t>潜在商业价值</t>
  </si>
  <si>
    <t>预期利润</t>
  </si>
  <si>
    <t>市场份额</t>
  </si>
  <si>
    <t>有效年限</t>
  </si>
  <si>
    <t>16年以上100；14-15年90分，12-13年80；10-11年70；8-9年60，6-7年50；5年及以内40，无40分</t>
  </si>
  <si>
    <t>当前申请(专利权)人</t>
  </si>
  <si>
    <t>1个90分，2个80分，3个及以上60分</t>
  </si>
  <si>
    <t>市场推广难度</t>
  </si>
  <si>
    <t>渠道拓展与维护难度</t>
  </si>
  <si>
    <t>营销资源投入</t>
  </si>
  <si>
    <t>综合评分</t>
  </si>
  <si>
    <t>专利名称</t>
  </si>
  <si>
    <t>申请号</t>
  </si>
  <si>
    <r>
      <rPr>
        <b/>
        <sz val="11"/>
        <color theme="1"/>
        <rFont val="宋体"/>
        <charset val="134"/>
      </rPr>
      <t>分类</t>
    </r>
    <r>
      <rPr>
        <b/>
        <sz val="11"/>
        <color theme="1"/>
        <rFont val="DejaVu Sans"/>
        <charset val="134"/>
      </rPr>
      <t>1</t>
    </r>
    <r>
      <rPr>
        <b/>
        <sz val="11"/>
        <color theme="1"/>
        <rFont val="宋体"/>
        <charset val="134"/>
      </rPr>
      <t>一级产业</t>
    </r>
  </si>
  <si>
    <r>
      <rPr>
        <b/>
        <sz val="11"/>
        <color theme="1"/>
        <rFont val="宋体"/>
        <charset val="134"/>
      </rPr>
      <t>分类</t>
    </r>
    <r>
      <rPr>
        <b/>
        <sz val="11"/>
        <color theme="1"/>
        <rFont val="DejaVu Sans"/>
        <charset val="134"/>
      </rPr>
      <t>1</t>
    </r>
    <r>
      <rPr>
        <b/>
        <sz val="11"/>
        <color theme="1"/>
        <rFont val="宋体"/>
        <charset val="134"/>
      </rPr>
      <t>二级产业</t>
    </r>
  </si>
  <si>
    <r>
      <rPr>
        <b/>
        <sz val="11"/>
        <color theme="1"/>
        <rFont val="宋体"/>
        <charset val="134"/>
      </rPr>
      <t>分类</t>
    </r>
    <r>
      <rPr>
        <b/>
        <sz val="11"/>
        <color theme="1"/>
        <rFont val="DejaVu Sans"/>
        <charset val="134"/>
      </rPr>
      <t>2</t>
    </r>
    <r>
      <rPr>
        <b/>
        <sz val="11"/>
        <color theme="1"/>
        <rFont val="宋体"/>
        <charset val="134"/>
      </rPr>
      <t>一级产业</t>
    </r>
  </si>
  <si>
    <r>
      <rPr>
        <b/>
        <sz val="11"/>
        <color theme="1"/>
        <rFont val="宋体"/>
        <charset val="134"/>
      </rPr>
      <t>分类</t>
    </r>
    <r>
      <rPr>
        <b/>
        <sz val="11"/>
        <color theme="1"/>
        <rFont val="DejaVu Sans"/>
        <charset val="134"/>
      </rPr>
      <t>2</t>
    </r>
    <r>
      <rPr>
        <b/>
        <sz val="11"/>
        <color theme="1"/>
        <rFont val="宋体"/>
        <charset val="134"/>
      </rPr>
      <t>二级产业</t>
    </r>
  </si>
  <si>
    <t>总分</t>
  </si>
  <si>
    <t>法律</t>
  </si>
  <si>
    <t>技术</t>
  </si>
  <si>
    <t>市场</t>
  </si>
</sst>
</file>

<file path=xl/styles.xml><?xml version="1.0" encoding="utf-8"?>
<styleSheet xmlns="http://schemas.openxmlformats.org/spreadsheetml/2006/main">
  <numFmts count="6">
    <numFmt numFmtId="176" formatCode="_ * #,##0_ ;_ * \-#,##0_ ;_ * &quot;-&quot;??_ ;_ @_ "/>
    <numFmt numFmtId="177" formatCode="0.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rgb="FF192338"/>
      <name val="微软雅黑"/>
      <charset val="134"/>
    </font>
    <font>
      <sz val="14"/>
      <color theme="0" tint="-0.15"/>
      <name val="微软雅黑"/>
      <charset val="134"/>
    </font>
    <font>
      <sz val="14"/>
      <color rgb="FF05073B"/>
      <name val="微软雅黑"/>
      <charset val="134"/>
    </font>
    <font>
      <sz val="14"/>
      <color rgb="FFFF0000"/>
      <name val="微软雅黑"/>
      <charset val="134"/>
    </font>
    <font>
      <sz val="14"/>
      <name val="微软雅黑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DejaVu Sans"/>
      <charset val="134"/>
    </font>
    <font>
      <sz val="11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5" fillId="1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9" fillId="24" borderId="15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7" fillId="16" borderId="15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0" fillId="35" borderId="16" applyNumberFormat="0" applyAlignment="0" applyProtection="0">
      <alignment vertical="center"/>
    </xf>
    <xf numFmtId="0" fontId="23" fillId="16" borderId="13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</cellStyleXfs>
  <cellXfs count="66">
    <xf numFmtId="0" fontId="0" fillId="0" borderId="0" xfId="0"/>
    <xf numFmtId="0" fontId="1" fillId="0" borderId="0" xfId="0" applyFont="1" applyAlignment="1">
      <alignment vertical="center"/>
    </xf>
    <xf numFmtId="177" fontId="0" fillId="0" borderId="0" xfId="0" applyNumberFormat="1"/>
    <xf numFmtId="0" fontId="1" fillId="0" borderId="0" xfId="0" applyFont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7" fontId="1" fillId="3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4" borderId="0" xfId="0" applyNumberFormat="1" applyFont="1" applyFill="1" applyAlignment="1">
      <alignment horizontal="center" vertical="center"/>
    </xf>
    <xf numFmtId="177" fontId="1" fillId="4" borderId="0" xfId="0" applyNumberFormat="1" applyFont="1" applyFill="1" applyAlignment="1">
      <alignment vertical="center"/>
    </xf>
    <xf numFmtId="177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9" fontId="6" fillId="0" borderId="0" xfId="9" applyFont="1" applyBorder="1">
      <alignment vertical="center"/>
    </xf>
    <xf numFmtId="9" fontId="6" fillId="0" borderId="0" xfId="9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7" fillId="5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9" fontId="9" fillId="0" borderId="2" xfId="0" applyNumberFormat="1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9" fontId="9" fillId="0" borderId="0" xfId="0" applyNumberFormat="1" applyFont="1" applyFill="1" applyAlignment="1">
      <alignment horizontal="center" vertical="center"/>
    </xf>
    <xf numFmtId="176" fontId="8" fillId="0" borderId="5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9" fontId="9" fillId="0" borderId="0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0" fontId="7" fillId="6" borderId="0" xfId="0" applyFont="1" applyFill="1" applyBorder="1" applyAlignment="1">
      <alignment vertical="center"/>
    </xf>
    <xf numFmtId="177" fontId="7" fillId="6" borderId="0" xfId="0" applyNumberFormat="1" applyFont="1" applyFill="1" applyBorder="1" applyAlignment="1">
      <alignment horizontal="center" vertical="center"/>
    </xf>
    <xf numFmtId="9" fontId="7" fillId="5" borderId="0" xfId="9" applyFont="1" applyFill="1" applyBorder="1" applyAlignment="1">
      <alignment horizontal="center" vertical="center"/>
    </xf>
    <xf numFmtId="9" fontId="9" fillId="0" borderId="2" xfId="9" applyFont="1" applyBorder="1" applyAlignment="1">
      <alignment horizontal="center" vertical="center"/>
    </xf>
    <xf numFmtId="176" fontId="8" fillId="0" borderId="3" xfId="9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9" fontId="9" fillId="0" borderId="2" xfId="9" applyNumberFormat="1" applyFont="1" applyBorder="1" applyAlignment="1">
      <alignment horizontal="center" vertical="center" wrapText="1"/>
    </xf>
    <xf numFmtId="9" fontId="9" fillId="0" borderId="0" xfId="9" applyFont="1" applyBorder="1" applyAlignment="1">
      <alignment horizontal="center" vertical="center"/>
    </xf>
    <xf numFmtId="176" fontId="8" fillId="0" borderId="5" xfId="9" applyNumberFormat="1" applyFont="1" applyBorder="1" applyAlignment="1">
      <alignment horizontal="center" vertical="center"/>
    </xf>
    <xf numFmtId="0" fontId="10" fillId="0" borderId="4" xfId="0" applyFont="1" applyFill="1" applyBorder="1" applyAlignment="1">
      <alignment vertical="center" wrapText="1"/>
    </xf>
    <xf numFmtId="9" fontId="9" fillId="0" borderId="0" xfId="9" applyNumberFormat="1" applyFont="1" applyBorder="1" applyAlignment="1">
      <alignment horizontal="center" vertical="center" wrapText="1"/>
    </xf>
    <xf numFmtId="0" fontId="11" fillId="0" borderId="4" xfId="0" applyFont="1" applyFill="1" applyBorder="1" applyAlignment="1">
      <alignment vertical="center" wrapText="1"/>
    </xf>
    <xf numFmtId="9" fontId="11" fillId="0" borderId="0" xfId="9" applyNumberFormat="1" applyFont="1" applyBorder="1" applyAlignment="1">
      <alignment horizontal="center" vertical="center" wrapText="1"/>
    </xf>
    <xf numFmtId="0" fontId="12" fillId="0" borderId="4" xfId="0" applyFont="1" applyFill="1" applyBorder="1" applyAlignment="1">
      <alignment vertical="center" wrapText="1"/>
    </xf>
    <xf numFmtId="9" fontId="9" fillId="0" borderId="0" xfId="9" applyNumberFormat="1" applyFont="1" applyBorder="1" applyAlignment="1">
      <alignment horizontal="center" vertical="center"/>
    </xf>
    <xf numFmtId="176" fontId="10" fillId="0" borderId="5" xfId="9" applyNumberFormat="1" applyFont="1" applyBorder="1" applyAlignment="1">
      <alignment horizontal="center" vertical="center"/>
    </xf>
    <xf numFmtId="176" fontId="6" fillId="0" borderId="5" xfId="9" applyNumberFormat="1" applyFont="1" applyBorder="1" applyAlignment="1">
      <alignment horizontal="center" vertical="center" wrapText="1"/>
    </xf>
    <xf numFmtId="9" fontId="9" fillId="0" borderId="7" xfId="9" applyFont="1" applyBorder="1" applyAlignment="1">
      <alignment horizontal="center" vertical="center" wrapText="1"/>
    </xf>
    <xf numFmtId="176" fontId="8" fillId="0" borderId="8" xfId="9" applyNumberFormat="1" applyFont="1" applyBorder="1" applyAlignment="1">
      <alignment horizontal="center" vertical="center"/>
    </xf>
    <xf numFmtId="0" fontId="10" fillId="0" borderId="6" xfId="0" applyFont="1" applyFill="1" applyBorder="1" applyAlignment="1">
      <alignment vertical="center" wrapText="1"/>
    </xf>
    <xf numFmtId="9" fontId="9" fillId="0" borderId="7" xfId="9" applyNumberFormat="1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zoomScale="70" zoomScaleNormal="70" workbookViewId="0">
      <selection activeCell="G16" sqref="G16"/>
    </sheetView>
  </sheetViews>
  <sheetFormatPr defaultColWidth="8.66666666666667" defaultRowHeight="20.25"/>
  <cols>
    <col min="1" max="1" width="11.25" style="18" customWidth="1"/>
    <col min="2" max="2" width="7.33333333333333" style="18" customWidth="1"/>
    <col min="3" max="3" width="6.41666666666667" style="19" customWidth="1"/>
    <col min="4" max="4" width="18.6833333333333" style="18" customWidth="1"/>
    <col min="5" max="5" width="6.5" style="20" customWidth="1"/>
    <col min="6" max="6" width="6.41666666666667" style="20" customWidth="1"/>
    <col min="7" max="7" width="34.825" style="18" customWidth="1"/>
    <col min="8" max="8" width="31.25" style="21" customWidth="1"/>
    <col min="9" max="9" width="12.675" style="22" customWidth="1"/>
    <col min="10" max="10" width="85.25" style="17" customWidth="1"/>
    <col min="11" max="16384" width="8.66666666666667" style="17"/>
  </cols>
  <sheetData>
    <row r="1" s="16" customFormat="1" ht="21" spans="1:9">
      <c r="A1" s="23" t="s">
        <v>0</v>
      </c>
      <c r="B1" s="23" t="s">
        <v>1</v>
      </c>
      <c r="C1" s="23" t="s">
        <v>2</v>
      </c>
      <c r="D1" s="23" t="s">
        <v>3</v>
      </c>
      <c r="E1" s="44" t="s">
        <v>1</v>
      </c>
      <c r="F1" s="44" t="s">
        <v>2</v>
      </c>
      <c r="G1" s="23" t="s">
        <v>4</v>
      </c>
      <c r="H1" s="44" t="s">
        <v>1</v>
      </c>
      <c r="I1" s="23" t="s">
        <v>2</v>
      </c>
    </row>
    <row r="2" s="17" customFormat="1" spans="1:9">
      <c r="A2" s="24" t="s">
        <v>5</v>
      </c>
      <c r="B2" s="25">
        <v>0.4</v>
      </c>
      <c r="C2" s="26">
        <f>E2*F2+E6*F6</f>
        <v>0</v>
      </c>
      <c r="D2" s="24" t="s">
        <v>6</v>
      </c>
      <c r="E2" s="45">
        <v>0.6</v>
      </c>
      <c r="F2" s="46">
        <f>H2*I2+H3*I3</f>
        <v>0</v>
      </c>
      <c r="G2" s="47" t="s">
        <v>7</v>
      </c>
      <c r="H2" s="48">
        <v>0.1</v>
      </c>
      <c r="I2" s="63"/>
    </row>
    <row r="3" s="17" customFormat="1" spans="1:9">
      <c r="A3" s="27"/>
      <c r="B3" s="28"/>
      <c r="C3" s="29"/>
      <c r="D3" s="27"/>
      <c r="E3" s="49"/>
      <c r="F3" s="50"/>
      <c r="G3" s="51" t="s">
        <v>8</v>
      </c>
      <c r="H3" s="52">
        <v>0.1</v>
      </c>
      <c r="I3" s="64"/>
    </row>
    <row r="4" s="17" customFormat="1" spans="1:10">
      <c r="A4" s="27"/>
      <c r="B4" s="28"/>
      <c r="C4" s="29"/>
      <c r="D4" s="27"/>
      <c r="E4" s="49"/>
      <c r="F4" s="50"/>
      <c r="G4" s="53" t="s">
        <v>9</v>
      </c>
      <c r="H4" s="54">
        <v>0.35</v>
      </c>
      <c r="I4" s="64"/>
      <c r="J4" s="17" t="s">
        <v>10</v>
      </c>
    </row>
    <row r="5" s="17" customFormat="1" spans="1:10">
      <c r="A5" s="27"/>
      <c r="B5" s="28"/>
      <c r="C5" s="29"/>
      <c r="D5" s="27"/>
      <c r="E5" s="49"/>
      <c r="F5" s="50"/>
      <c r="G5" s="53" t="s">
        <v>11</v>
      </c>
      <c r="H5" s="54">
        <v>0.45</v>
      </c>
      <c r="I5" s="64"/>
      <c r="J5" s="17" t="s">
        <v>12</v>
      </c>
    </row>
    <row r="6" s="17" customFormat="1" spans="1:9">
      <c r="A6" s="27"/>
      <c r="B6" s="28"/>
      <c r="C6" s="29"/>
      <c r="D6" s="30" t="s">
        <v>13</v>
      </c>
      <c r="E6" s="49">
        <v>0.4</v>
      </c>
      <c r="F6" s="50">
        <f>H6*I6</f>
        <v>0</v>
      </c>
      <c r="G6" s="55" t="s">
        <v>14</v>
      </c>
      <c r="H6" s="52">
        <v>0.1</v>
      </c>
      <c r="I6" s="64"/>
    </row>
    <row r="7" s="17" customFormat="1" spans="1:10">
      <c r="A7" s="27"/>
      <c r="B7" s="28"/>
      <c r="C7" s="29"/>
      <c r="D7" s="30"/>
      <c r="E7" s="49"/>
      <c r="F7" s="50"/>
      <c r="G7" s="53" t="s">
        <v>15</v>
      </c>
      <c r="H7" s="54">
        <v>0.25</v>
      </c>
      <c r="I7" s="64"/>
      <c r="J7" s="17" t="s">
        <v>16</v>
      </c>
    </row>
    <row r="8" s="17" customFormat="1" spans="1:10">
      <c r="A8" s="27"/>
      <c r="B8" s="28"/>
      <c r="C8" s="29"/>
      <c r="D8" s="30"/>
      <c r="E8" s="49"/>
      <c r="F8" s="50"/>
      <c r="G8" s="53" t="s">
        <v>17</v>
      </c>
      <c r="H8" s="54">
        <v>0.4</v>
      </c>
      <c r="I8" s="64"/>
      <c r="J8" s="17" t="s">
        <v>18</v>
      </c>
    </row>
    <row r="9" s="17" customFormat="1" spans="1:10">
      <c r="A9" s="27"/>
      <c r="B9" s="28"/>
      <c r="C9" s="29"/>
      <c r="D9" s="30"/>
      <c r="E9" s="49"/>
      <c r="F9" s="50"/>
      <c r="G9" s="53" t="s">
        <v>19</v>
      </c>
      <c r="H9" s="54">
        <v>0.25</v>
      </c>
      <c r="I9" s="64"/>
      <c r="J9" s="17" t="s">
        <v>20</v>
      </c>
    </row>
    <row r="10" s="17" customFormat="1" spans="1:9">
      <c r="A10" s="31" t="s">
        <v>21</v>
      </c>
      <c r="B10" s="28">
        <v>0.4</v>
      </c>
      <c r="C10" s="32">
        <f>E10*F10+E13*F13+E17*F17</f>
        <v>0</v>
      </c>
      <c r="D10" s="30" t="s">
        <v>22</v>
      </c>
      <c r="E10" s="56">
        <v>0.6</v>
      </c>
      <c r="F10" s="50">
        <f>H10*I10+H11*I11</f>
        <v>0</v>
      </c>
      <c r="G10" s="51" t="s">
        <v>23</v>
      </c>
      <c r="H10" s="52">
        <v>0.1</v>
      </c>
      <c r="I10" s="64"/>
    </row>
    <row r="11" s="17" customFormat="1" spans="1:9">
      <c r="A11" s="31"/>
      <c r="B11" s="28"/>
      <c r="C11" s="32"/>
      <c r="D11" s="30"/>
      <c r="E11" s="56"/>
      <c r="F11" s="50"/>
      <c r="G11" s="51" t="s">
        <v>24</v>
      </c>
      <c r="H11" s="52">
        <v>0.1</v>
      </c>
      <c r="I11" s="64"/>
    </row>
    <row r="12" s="17" customFormat="1" spans="1:10">
      <c r="A12" s="31"/>
      <c r="B12" s="28"/>
      <c r="C12" s="32"/>
      <c r="D12" s="30"/>
      <c r="E12" s="56"/>
      <c r="F12" s="50"/>
      <c r="G12" s="53" t="s">
        <v>25</v>
      </c>
      <c r="H12" s="54">
        <v>0.8</v>
      </c>
      <c r="I12" s="64"/>
      <c r="J12" s="17" t="s">
        <v>26</v>
      </c>
    </row>
    <row r="13" s="17" customFormat="1" spans="1:9">
      <c r="A13" s="31"/>
      <c r="B13" s="28"/>
      <c r="C13" s="32"/>
      <c r="D13" s="30" t="s">
        <v>27</v>
      </c>
      <c r="E13" s="56">
        <v>0.1</v>
      </c>
      <c r="F13" s="50">
        <f>H13*I13+H14*I14+H16*I16+H15*I15</f>
        <v>0</v>
      </c>
      <c r="G13" s="51" t="s">
        <v>28</v>
      </c>
      <c r="H13" s="52">
        <v>0.3</v>
      </c>
      <c r="I13" s="64"/>
    </row>
    <row r="14" s="17" customFormat="1" spans="1:9">
      <c r="A14" s="31"/>
      <c r="B14" s="28"/>
      <c r="C14" s="32"/>
      <c r="D14" s="30"/>
      <c r="E14" s="49"/>
      <c r="F14" s="50"/>
      <c r="G14" s="51" t="s">
        <v>29</v>
      </c>
      <c r="H14" s="52">
        <v>0.3</v>
      </c>
      <c r="I14" s="64"/>
    </row>
    <row r="15" s="17" customFormat="1" spans="1:9">
      <c r="A15" s="31"/>
      <c r="B15" s="28"/>
      <c r="C15" s="32"/>
      <c r="D15" s="30"/>
      <c r="E15" s="49"/>
      <c r="F15" s="50"/>
      <c r="G15" s="51" t="s">
        <v>30</v>
      </c>
      <c r="H15" s="52">
        <v>0.2</v>
      </c>
      <c r="I15" s="64"/>
    </row>
    <row r="16" s="17" customFormat="1" spans="1:9">
      <c r="A16" s="31"/>
      <c r="B16" s="28"/>
      <c r="C16" s="32"/>
      <c r="D16" s="30"/>
      <c r="E16" s="49"/>
      <c r="F16" s="50"/>
      <c r="G16" s="51" t="s">
        <v>31</v>
      </c>
      <c r="H16" s="52">
        <v>0.2</v>
      </c>
      <c r="I16" s="64"/>
    </row>
    <row r="17" s="17" customFormat="1" spans="1:9">
      <c r="A17" s="31"/>
      <c r="B17" s="28"/>
      <c r="C17" s="32"/>
      <c r="D17" s="33" t="s">
        <v>32</v>
      </c>
      <c r="E17" s="56">
        <v>0.3</v>
      </c>
      <c r="F17" s="50">
        <f>I17</f>
        <v>0</v>
      </c>
      <c r="G17" s="51" t="s">
        <v>32</v>
      </c>
      <c r="H17" s="52">
        <v>0.2</v>
      </c>
      <c r="I17" s="64"/>
    </row>
    <row r="18" s="17" customFormat="1" spans="1:10">
      <c r="A18" s="31"/>
      <c r="B18" s="28"/>
      <c r="C18" s="32"/>
      <c r="D18" s="33"/>
      <c r="E18" s="56"/>
      <c r="F18" s="50"/>
      <c r="G18" s="53" t="s">
        <v>33</v>
      </c>
      <c r="H18" s="54">
        <v>0.8</v>
      </c>
      <c r="I18" s="64"/>
      <c r="J18" s="17" t="s">
        <v>34</v>
      </c>
    </row>
    <row r="19" s="17" customFormat="1" spans="1:9">
      <c r="A19" s="31" t="s">
        <v>35</v>
      </c>
      <c r="B19" s="34">
        <v>0.2</v>
      </c>
      <c r="C19" s="32">
        <f>E19*F19+E21*F21+E25*F25</f>
        <v>0</v>
      </c>
      <c r="D19" s="35" t="s">
        <v>36</v>
      </c>
      <c r="E19" s="56">
        <v>0.15</v>
      </c>
      <c r="F19" s="57">
        <f>H19*I19+H20*I20</f>
        <v>0</v>
      </c>
      <c r="G19" s="51" t="s">
        <v>37</v>
      </c>
      <c r="H19" s="52">
        <v>0.5</v>
      </c>
      <c r="I19" s="64"/>
    </row>
    <row r="20" s="17" customFormat="1" spans="1:9">
      <c r="A20" s="31"/>
      <c r="B20" s="36"/>
      <c r="C20" s="32"/>
      <c r="D20" s="30"/>
      <c r="E20" s="49"/>
      <c r="F20" s="57"/>
      <c r="G20" s="51" t="s">
        <v>38</v>
      </c>
      <c r="H20" s="52">
        <v>0.5</v>
      </c>
      <c r="I20" s="64"/>
    </row>
    <row r="21" s="17" customFormat="1" spans="1:9">
      <c r="A21" s="31"/>
      <c r="B21" s="36"/>
      <c r="C21" s="32"/>
      <c r="D21" s="37" t="s">
        <v>39</v>
      </c>
      <c r="E21" s="52">
        <v>0.7</v>
      </c>
      <c r="F21" s="58">
        <f>H21*I21+H22*I22</f>
        <v>0</v>
      </c>
      <c r="G21" s="51" t="s">
        <v>40</v>
      </c>
      <c r="H21" s="52">
        <v>0.05</v>
      </c>
      <c r="I21" s="64"/>
    </row>
    <row r="22" s="17" customFormat="1" spans="1:9">
      <c r="A22" s="31"/>
      <c r="B22" s="36"/>
      <c r="C22" s="32"/>
      <c r="D22" s="37"/>
      <c r="E22" s="52"/>
      <c r="F22" s="58"/>
      <c r="G22" s="51" t="s">
        <v>41</v>
      </c>
      <c r="H22" s="52">
        <v>0.05</v>
      </c>
      <c r="I22" s="64"/>
    </row>
    <row r="23" s="17" customFormat="1" spans="1:10">
      <c r="A23" s="31"/>
      <c r="B23" s="36"/>
      <c r="C23" s="32"/>
      <c r="D23" s="37"/>
      <c r="E23" s="52"/>
      <c r="F23" s="58"/>
      <c r="G23" s="53" t="s">
        <v>42</v>
      </c>
      <c r="H23" s="54">
        <v>0.65</v>
      </c>
      <c r="I23" s="64"/>
      <c r="J23" s="17" t="s">
        <v>43</v>
      </c>
    </row>
    <row r="24" s="17" customFormat="1" ht="23.25" spans="1:10">
      <c r="A24" s="31"/>
      <c r="B24" s="36"/>
      <c r="C24" s="32"/>
      <c r="D24" s="37"/>
      <c r="E24" s="52"/>
      <c r="F24" s="58"/>
      <c r="G24" s="53" t="s">
        <v>44</v>
      </c>
      <c r="H24" s="54">
        <v>0.25</v>
      </c>
      <c r="I24" s="64"/>
      <c r="J24" s="17" t="s">
        <v>45</v>
      </c>
    </row>
    <row r="25" s="17" customFormat="1" spans="1:9">
      <c r="A25" s="31"/>
      <c r="B25" s="36"/>
      <c r="C25" s="32"/>
      <c r="D25" s="37" t="s">
        <v>46</v>
      </c>
      <c r="E25" s="52">
        <v>0.15</v>
      </c>
      <c r="F25" s="50">
        <f>H25*I25+H26*I26</f>
        <v>0</v>
      </c>
      <c r="G25" s="51" t="s">
        <v>47</v>
      </c>
      <c r="H25" s="52">
        <v>0.5</v>
      </c>
      <c r="I25" s="64"/>
    </row>
    <row r="26" s="17" customFormat="1" ht="21" spans="1:9">
      <c r="A26" s="38"/>
      <c r="B26" s="39"/>
      <c r="C26" s="40"/>
      <c r="D26" s="41"/>
      <c r="E26" s="59"/>
      <c r="F26" s="60"/>
      <c r="G26" s="61" t="s">
        <v>48</v>
      </c>
      <c r="H26" s="62">
        <v>0.5</v>
      </c>
      <c r="I26" s="65"/>
    </row>
    <row r="27" s="17" customFormat="1" spans="1:9">
      <c r="A27" s="42" t="s">
        <v>49</v>
      </c>
      <c r="B27" s="43">
        <f>B2*C2+B10*C10+B19*C19</f>
        <v>0</v>
      </c>
      <c r="C27" s="19"/>
      <c r="D27" s="18"/>
      <c r="E27" s="20"/>
      <c r="F27" s="20"/>
      <c r="G27" s="18"/>
      <c r="H27" s="21"/>
      <c r="I27" s="22"/>
    </row>
  </sheetData>
  <mergeCells count="33">
    <mergeCell ref="A2:A9"/>
    <mergeCell ref="A10:A18"/>
    <mergeCell ref="A19:A26"/>
    <mergeCell ref="B2:B9"/>
    <mergeCell ref="B10:B18"/>
    <mergeCell ref="B19:B26"/>
    <mergeCell ref="C2:C9"/>
    <mergeCell ref="C10:C18"/>
    <mergeCell ref="C19:C26"/>
    <mergeCell ref="D2:D5"/>
    <mergeCell ref="D6:D9"/>
    <mergeCell ref="D10:D12"/>
    <mergeCell ref="D13:D16"/>
    <mergeCell ref="D17:D18"/>
    <mergeCell ref="D19:D20"/>
    <mergeCell ref="D21:D24"/>
    <mergeCell ref="D25:D26"/>
    <mergeCell ref="E2:E5"/>
    <mergeCell ref="E6:E9"/>
    <mergeCell ref="E10:E12"/>
    <mergeCell ref="E13:E16"/>
    <mergeCell ref="E17:E18"/>
    <mergeCell ref="E19:E20"/>
    <mergeCell ref="E21:E24"/>
    <mergeCell ref="E25:E26"/>
    <mergeCell ref="F2:F5"/>
    <mergeCell ref="F6:F9"/>
    <mergeCell ref="F10:F12"/>
    <mergeCell ref="F13:F16"/>
    <mergeCell ref="F17:F18"/>
    <mergeCell ref="F19:F20"/>
    <mergeCell ref="F21:F24"/>
    <mergeCell ref="F25:F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L4" sqref="L4"/>
    </sheetView>
  </sheetViews>
  <sheetFormatPr defaultColWidth="9" defaultRowHeight="18"/>
  <cols>
    <col min="8" max="11" width="9" style="2"/>
    <col min="12" max="12" width="21.75" customWidth="1"/>
  </cols>
  <sheetData>
    <row r="1" ht="36" spans="1:12">
      <c r="A1" s="12"/>
      <c r="B1" s="13" t="s">
        <v>50</v>
      </c>
      <c r="C1" s="13" t="s">
        <v>51</v>
      </c>
      <c r="D1" s="14" t="s">
        <v>52</v>
      </c>
      <c r="E1" s="14" t="s">
        <v>53</v>
      </c>
      <c r="F1" s="14" t="s">
        <v>54</v>
      </c>
      <c r="G1" s="14" t="s">
        <v>55</v>
      </c>
      <c r="H1" s="15" t="s">
        <v>56</v>
      </c>
      <c r="I1" s="15" t="s">
        <v>57</v>
      </c>
      <c r="J1" s="15" t="s">
        <v>58</v>
      </c>
      <c r="K1" s="15" t="s">
        <v>59</v>
      </c>
      <c r="L1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opLeftCell="E1" workbookViewId="0">
      <selection activeCell="D1" sqref="D$1:M$1048576"/>
    </sheetView>
  </sheetViews>
  <sheetFormatPr defaultColWidth="9" defaultRowHeight="18" outlineLevelRow="1"/>
  <cols>
    <col min="2" max="2" width="8.875" customWidth="1"/>
    <col min="3" max="3" width="7" customWidth="1"/>
    <col min="4" max="4" width="12.875" style="2" customWidth="1"/>
    <col min="5" max="5" width="17.125" style="2" customWidth="1"/>
    <col min="6" max="8" width="15" style="2" customWidth="1"/>
    <col min="9" max="9" width="10.875" style="2" customWidth="1"/>
    <col min="10" max="13" width="21.25" style="2" customWidth="1"/>
  </cols>
  <sheetData>
    <row r="1" s="10" customFormat="1" spans="1:13">
      <c r="A1" s="11"/>
      <c r="B1" s="3"/>
      <c r="C1" s="3"/>
      <c r="D1" s="5" t="s">
        <v>6</v>
      </c>
      <c r="E1" s="5"/>
      <c r="F1" s="5"/>
      <c r="G1" s="5"/>
      <c r="H1" s="5"/>
      <c r="I1" s="4" t="s">
        <v>13</v>
      </c>
      <c r="J1" s="4"/>
      <c r="K1" s="4"/>
      <c r="L1" s="4"/>
      <c r="M1" s="4"/>
    </row>
    <row r="2" s="10" customFormat="1" spans="1:13">
      <c r="A2" s="11"/>
      <c r="B2" s="3" t="s">
        <v>50</v>
      </c>
      <c r="C2" s="3" t="s">
        <v>51</v>
      </c>
      <c r="D2" s="5"/>
      <c r="E2" s="6" t="s">
        <v>7</v>
      </c>
      <c r="F2" s="6" t="s">
        <v>8</v>
      </c>
      <c r="G2" s="6" t="s">
        <v>9</v>
      </c>
      <c r="H2" s="6" t="s">
        <v>11</v>
      </c>
      <c r="I2" s="4"/>
      <c r="J2" s="6" t="s">
        <v>14</v>
      </c>
      <c r="K2" s="6" t="s">
        <v>15</v>
      </c>
      <c r="L2" s="6" t="s">
        <v>17</v>
      </c>
      <c r="M2" s="6" t="s">
        <v>19</v>
      </c>
    </row>
  </sheetData>
  <mergeCells count="3">
    <mergeCell ref="E1:H1"/>
    <mergeCell ref="D1:D2"/>
    <mergeCell ref="I1:I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zoomScale="85" zoomScaleNormal="85" workbookViewId="0">
      <selection activeCell="O1" sqref="D$1:O$1048576"/>
    </sheetView>
  </sheetViews>
  <sheetFormatPr defaultColWidth="9" defaultRowHeight="18" outlineLevelRow="1"/>
  <cols>
    <col min="2" max="2" width="8.875" customWidth="1"/>
    <col min="3" max="3" width="7" customWidth="1"/>
    <col min="4" max="7" width="10.875" style="2" customWidth="1"/>
    <col min="8" max="8" width="12.875" style="2" customWidth="1"/>
    <col min="9" max="9" width="10.875" style="2" customWidth="1"/>
    <col min="10" max="10" width="8.875" style="2" customWidth="1"/>
    <col min="11" max="11" width="12.875" style="2" customWidth="1"/>
    <col min="12" max="15" width="15" style="2" customWidth="1"/>
  </cols>
  <sheetData>
    <row r="1" s="1" customFormat="1" spans="1:15">
      <c r="A1" s="3"/>
      <c r="B1" s="3"/>
      <c r="C1" s="3"/>
      <c r="D1" s="4" t="s">
        <v>22</v>
      </c>
      <c r="E1" s="4"/>
      <c r="F1" s="4"/>
      <c r="G1" s="4"/>
      <c r="H1" s="5" t="s">
        <v>27</v>
      </c>
      <c r="I1" s="5"/>
      <c r="J1" s="5"/>
      <c r="K1" s="5"/>
      <c r="L1" s="5"/>
      <c r="M1" s="7" t="s">
        <v>32</v>
      </c>
      <c r="N1" s="8"/>
      <c r="O1" s="8"/>
    </row>
    <row r="2" s="1" customFormat="1" spans="1:15">
      <c r="A2" s="3"/>
      <c r="B2" s="3" t="s">
        <v>50</v>
      </c>
      <c r="C2" s="3" t="s">
        <v>51</v>
      </c>
      <c r="D2" s="4"/>
      <c r="E2" s="6" t="s">
        <v>23</v>
      </c>
      <c r="F2" s="6" t="s">
        <v>24</v>
      </c>
      <c r="G2" s="6" t="s">
        <v>25</v>
      </c>
      <c r="H2" s="5"/>
      <c r="I2" s="6" t="s">
        <v>28</v>
      </c>
      <c r="J2" s="6" t="s">
        <v>29</v>
      </c>
      <c r="K2" s="6" t="s">
        <v>30</v>
      </c>
      <c r="L2" s="6" t="s">
        <v>31</v>
      </c>
      <c r="M2" s="8"/>
      <c r="N2" s="9" t="s">
        <v>32</v>
      </c>
      <c r="O2" s="9" t="s">
        <v>33</v>
      </c>
    </row>
  </sheetData>
  <mergeCells count="5">
    <mergeCell ref="E1:G1"/>
    <mergeCell ref="I1:L1"/>
    <mergeCell ref="D1:D2"/>
    <mergeCell ref="H1:H2"/>
    <mergeCell ref="M1:M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D1" sqref="D$1:N$1048576"/>
    </sheetView>
  </sheetViews>
  <sheetFormatPr defaultColWidth="9" defaultRowHeight="18" outlineLevelRow="1"/>
  <cols>
    <col min="2" max="2" width="8.875" customWidth="1"/>
    <col min="3" max="3" width="7" customWidth="1"/>
    <col min="4" max="4" width="8.875" style="2" customWidth="1"/>
    <col min="5" max="5" width="12.875" style="2" customWidth="1"/>
    <col min="6" max="6" width="8.875" style="2" customWidth="1"/>
    <col min="7" max="7" width="12.875" style="2" customWidth="1"/>
    <col min="8" max="10" width="8.875" style="2" customWidth="1"/>
    <col min="11" max="11" width="18.75" style="2" customWidth="1"/>
    <col min="12" max="12" width="12.875" style="2" customWidth="1"/>
    <col min="13" max="13" width="19.125" style="2" customWidth="1"/>
    <col min="14" max="14" width="12.875" style="2" customWidth="1"/>
  </cols>
  <sheetData>
    <row r="1" s="1" customFormat="1" spans="1:14">
      <c r="A1" s="3"/>
      <c r="B1" s="3"/>
      <c r="C1" s="3"/>
      <c r="D1" s="4" t="s">
        <v>36</v>
      </c>
      <c r="E1" s="4"/>
      <c r="F1" s="4"/>
      <c r="G1" s="5" t="s">
        <v>39</v>
      </c>
      <c r="H1" s="5"/>
      <c r="I1" s="5"/>
      <c r="J1" s="5"/>
      <c r="K1" s="5"/>
      <c r="L1" s="7" t="s">
        <v>46</v>
      </c>
      <c r="M1" s="7"/>
      <c r="N1" s="7"/>
    </row>
    <row r="2" s="1" customFormat="1" spans="1:14">
      <c r="A2" s="3"/>
      <c r="B2" s="3" t="s">
        <v>50</v>
      </c>
      <c r="C2" s="3" t="s">
        <v>51</v>
      </c>
      <c r="D2" s="4"/>
      <c r="E2" s="6" t="s">
        <v>37</v>
      </c>
      <c r="F2" s="6" t="s">
        <v>38</v>
      </c>
      <c r="G2" s="5"/>
      <c r="H2" s="6" t="s">
        <v>40</v>
      </c>
      <c r="I2" s="6" t="s">
        <v>41</v>
      </c>
      <c r="J2" s="6" t="s">
        <v>42</v>
      </c>
      <c r="K2" s="6" t="s">
        <v>44</v>
      </c>
      <c r="L2" s="8"/>
      <c r="M2" s="9" t="s">
        <v>47</v>
      </c>
      <c r="N2" s="9" t="s">
        <v>48</v>
      </c>
    </row>
  </sheetData>
  <mergeCells count="6">
    <mergeCell ref="E1:F1"/>
    <mergeCell ref="H1:K1"/>
    <mergeCell ref="M1:N1"/>
    <mergeCell ref="D1:D2"/>
    <mergeCell ref="G1:G2"/>
    <mergeCell ref="L1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评分模型</vt:lpstr>
      <vt:lpstr>总分</vt:lpstr>
      <vt:lpstr>法律维度</vt:lpstr>
      <vt:lpstr>技术维度</vt:lpstr>
      <vt:lpstr>市场维度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</dc:creator>
  <cp:lastModifiedBy>zheng</cp:lastModifiedBy>
  <dcterms:created xsi:type="dcterms:W3CDTF">2015-06-07T02:17:00Z</dcterms:created>
  <dcterms:modified xsi:type="dcterms:W3CDTF">2024-08-27T16:20:34Z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F5D0C425B1424145BB741E2293AF4B1A_13</vt:lpwstr>
  </property>
</Properties>
</file>